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Mukesh\Downloads\"/>
    </mc:Choice>
  </mc:AlternateContent>
  <xr:revisionPtr revIDLastSave="0" documentId="13_ncr:1_{CBD5C0E0-D956-4E47-9084-136279AC3B33}" xr6:coauthVersionLast="47" xr6:coauthVersionMax="47" xr10:uidLastSave="{00000000-0000-0000-0000-000000000000}"/>
  <bookViews>
    <workbookView xWindow="-108" yWindow="-108" windowWidth="23256" windowHeight="13896"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2" i="19" l="1"/>
  <c r="C5" i="15"/>
  <c r="F30" i="18"/>
  <c r="F29" i="18"/>
  <c r="F28" i="18"/>
  <c r="E30" i="18"/>
  <c r="E29" i="18"/>
  <c r="E28" i="18"/>
  <c r="D30" i="18"/>
  <c r="D29" i="18"/>
  <c r="D28" i="18"/>
  <c r="C30" i="18"/>
  <c r="C29" i="18"/>
  <c r="C28" i="18"/>
  <c r="B30" i="18"/>
  <c r="B29" i="18"/>
  <c r="B28" i="18"/>
  <c r="F6" i="18" a="1"/>
  <c r="F6" i="18" s="1"/>
  <c r="E6" i="18" a="1"/>
  <c r="E6" i="18" s="1"/>
  <c r="D6" i="18" a="1"/>
  <c r="D6" i="18" s="1"/>
  <c r="C6" i="18" a="1"/>
  <c r="C6" i="18" s="1"/>
  <c r="B6" i="18" a="1"/>
  <c r="B6" i="18" s="1"/>
  <c r="H4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<sst xmlns="http://schemas.openxmlformats.org/spreadsheetml/2006/main" count="401" uniqueCount="182">
  <si>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</si>
  <si>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</si>
  <si>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</si>
  <si>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</si>
  <si>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</si>
  <si>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</si>
  <si>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</si>
  <si>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</si>
  <si>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</si>
  <si>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</si>
  <si>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</si>
  <si>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</si>
  <si>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</si>
  <si>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</si>
  <si>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</si>
  <si>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</si>
  <si>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</si>
  <si>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</si>
  <si>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</si>
  <si>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</si>
  <si>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</si>
  <si>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</si>
  <si>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</si>
  <si>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</si>
  <si>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</si>
  <si>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</si>
  <si>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</si>
  <si>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</si>
  <si>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</si>
  <si>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</si>
  <si>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</si>
  <si>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</si>
  <si>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</si>
  <si>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</si>
  <si>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</si>
  <si>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</si>
  <si>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</si>
  <si>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</si>
  <si>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</si>
  <si>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</si>
  <si>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</si>
  <si>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</si>
  <si>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</si>
  <si>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</si>
  <si>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</si>
  <si>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</si>
  <si>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</si>
  <si>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</si>
  <si>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</si>
  <si>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</si>
  <si>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</si>
  <si>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</si>
  <si>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</si>
  <si>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</si>
  <si>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</si>
  <si>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</si>
  <si>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</si>
  <si>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</si>
  <si>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</si>
  <si>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</si>
  <si>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</si>
  <si>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</si>
  <si>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</si>
  <si>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</si>
  <si>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</si>
  <si>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</si>
  <si>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</si>
  <si>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</si>
  <si>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</si>
  <si>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</si>
  <si>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</si>
  <si>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</si>
  <si>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</si>
  <si>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</si>
  <si>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</si>
  <si>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</si>
  <si>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</si>
  <si>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</si>
  <si>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</si>
  <si>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</si>
  <si>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</si>
  <si>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</si>
  <si>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</si>
  <si>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</si>
  <si>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</si>
  <si>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</si>
  <si>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</si>
  <si>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</si>
  <si>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</si>
  <si>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</si>
  <si>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</si>
  <si>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</si>
  <si>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</si>
  <si>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</si>
  <si>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</si>
  <si>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</si>
  <si>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</si>
  <si>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</si>
  <si>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</si>
  <si>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</si>
  <si>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</si>
  <si>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</si>
  <si>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</si>
  <si>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</si>
  <si>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</si>
  <si>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</si>
  <si>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</si>
  <si>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</si>
  <si>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</si>
  <si>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</si>
  <si>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</si>
  <si>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</si>
  <si>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</si>
  <si>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</si>
  <si>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</si>
  <si>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</si>
  <si>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</si>
  <si>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</si>
  <si>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</si>
  <si>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</si>
  <si>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</si>
  <si>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</si>
  <si>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</si>
  <si>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</si>
  <si>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</si>
  <si>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</si>
  <si>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</si>
  <si>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</si>
  <si>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</si>
  <si>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</si>
  <si>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</si>
  <si>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</si>
  <si>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</si>
  <si>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</si>
  <si>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</si>
  <si>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</si>
  <si>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</si>
  <si>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</si>
  <si>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</si>
  <si>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</si>
  <si>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</si>
  <si>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</si>
  <si>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</si>
  <si>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</si>
  <si>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</si>
  <si>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</si>
  <si>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</si>
  <si>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</si>
  <si>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</si>
  <si>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</si>
  <si>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</si>
  <si>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</si>
  <si>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</si>
  <si>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</si>
  <si>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</si>
  <si>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</si>
  <si>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</si>
  <si>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</si>
  <si>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</si>
  <si>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</si>
  <si>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</si>
  <si>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</si>
  <si>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</si>
  <si>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</si>
  <si>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</si>
  <si>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</si>
  <si>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</si>
  <si>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</si>
  <si>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</si>
  <si>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</si>
  <si>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</si>
  <si>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</si>
  <si>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</si>
  <si>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</si>
  <si>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</si>
  <si>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 xml:space="preserve"> Task 1  Q3 </t>
  </si>
  <si>
    <t>Explanation:  The "Text to Columns" method in Excel is used when you need to split the contents of a cell or a range of cells into separate columns based on a specified delimiter. It's beneficial when dealing with data that is structured with identifiable separators (like commas, spaces, or hyphens), allowing you to quickly organize and format data without manually extracting and splitting each component. This method is user-friendly and efficient for tasks involving large datasets. The alternate formula method using functions like LEFT, MID, and FIND provides a more flexible approach but may require more manual steps and is better suited for scenarios where precise control over the extraction process is needed.</t>
  </si>
  <si>
    <t>Formula/Functionality used:  Build in Function - Text to column</t>
  </si>
  <si>
    <t>Explanation: I replaced the NA values with 20 and then used =SUM Function for Addition of range of sales.</t>
  </si>
  <si>
    <t>Formula/Functionality used: =SUM(C12:C21)</t>
  </si>
  <si>
    <t>Formula/Functionality used: Logic</t>
  </si>
  <si>
    <t>Explanation:  table_A is present in the form of matrix where according to alphabets laters the metrix is present , in table_B there is  ID and Name for each unique ID there is one alphabet is given, so in the Table_C name_1 and name_2 have different ID which represent Two alphabets for eg in first row Name_1 is 10100 - A and Name_2 is 10102 - B  (from Table_B)  so if you check in table_A the value to A-B matrix is 95 so using this logic i mannually written values for all the combos rather than using any complex formula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</si>
</sst>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6" fontId="7" fillId="0" borderId="0" xfId="0" applyNumberFormat="1" applyFont="1"/>
    <xf numFmtId="166" fontId="3"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ont>
        <color rgb="FFFF0000"/>
      </font>
    </dxf>
    <dxf>
      <font>
        <color rgb="FF00B050"/>
      </font>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171</v>
      </c>
    </row>
    <row r="9" spans="1:3" x14ac:dyDescent="0.3">
      <c r="A9" s="36" t="s">
        <v>169</v>
      </c>
      <c r="B9" s="26" t="s">
        <v>167</v>
      </c>
    </row>
    <row r="10" spans="1:3" x14ac:dyDescent="0.3">
      <c r="A10" s="35" t="s">
        <v>170</v>
      </c>
      <c r="B10" s="37">
        <v>25</v>
      </c>
    </row>
    <row r="11" spans="1:3" x14ac:dyDescent="0.3">
      <c r="A11" s="35" t="s">
        <v>54</v>
      </c>
      <c r="B11" s="37">
        <v>30</v>
      </c>
    </row>
    <row r="12" spans="1:3" x14ac:dyDescent="0.3">
      <c r="A12" s="35" t="s">
        <v>55</v>
      </c>
      <c r="B12" s="37">
        <v>10</v>
      </c>
    </row>
    <row r="13" spans="1:3" x14ac:dyDescent="0.3">
      <c r="A13" s="35" t="s">
        <v>84</v>
      </c>
      <c r="B13" s="37">
        <v>20</v>
      </c>
    </row>
    <row r="14" spans="1:3" x14ac:dyDescent="0.3">
      <c r="A14" s="35" t="s">
        <v>97</v>
      </c>
      <c r="B14" s="37">
        <v>40</v>
      </c>
    </row>
    <row r="15" spans="1:3" x14ac:dyDescent="0.3">
      <c r="A15" s="38" t="s">
        <v>168</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5"/>
  <sheetViews>
    <sheetView tabSelected="1" zoomScale="70" zoomScaleNormal="70" workbookViewId="0">
      <pane ySplit="1" topLeftCell="A2" activePane="bottomLeft" state="frozen"/>
      <selection pane="bottomLeft" activeCell="O43" sqref="O43"/>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6.77734375" style="47" bestFit="1" customWidth="1"/>
    <col min="25" max="16384" width="9" style="1"/>
  </cols>
  <sheetData>
    <row r="1" spans="1:24" s="3" customFormat="1" ht="13.2" customHeight="1" x14ac:dyDescent="0.3">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46" t="s">
        <v>104</v>
      </c>
    </row>
    <row r="2" spans="1:24" ht="15" customHeight="1"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ht="14.4" customHeight="1"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ht="13.8" customHeight="1"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4" spans="1:24" x14ac:dyDescent="0.3">
      <c r="G44" s="1" t="s">
        <v>175</v>
      </c>
      <c r="H44" s="1">
        <f>SUMIF(H2:H40,"&gt;20")</f>
        <v>1473.0000000000002</v>
      </c>
    </row>
    <row r="45" spans="1:24" x14ac:dyDescent="0.3">
      <c r="S45"/>
    </row>
  </sheetData>
  <autoFilter ref="A1:X1" xr:uid="{00000000-0001-0000-0000-000000000000}"/>
  <conditionalFormatting sqref="A1:XFD1048576">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pane ySplit="1" topLeftCell="A2" activePane="bottomLeft" state="frozen"/>
      <selection pane="bottomLeft" activeCell="C17" sqref="C17"/>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174</v>
      </c>
    </row>
    <row r="2" spans="1:5" x14ac:dyDescent="0.3">
      <c r="A2" s="2"/>
      <c r="B2" s="5" t="s">
        <v>158</v>
      </c>
      <c r="C2" s="2"/>
    </row>
    <row r="3" spans="1:5" x14ac:dyDescent="0.3">
      <c r="A3" s="6">
        <v>1</v>
      </c>
      <c r="B3" s="2" t="s">
        <v>106</v>
      </c>
      <c r="C3" s="2" t="s">
        <v>45</v>
      </c>
      <c r="E3" s="1">
        <v>5</v>
      </c>
    </row>
    <row r="4" spans="1:5" x14ac:dyDescent="0.3">
      <c r="A4" s="6">
        <v>2</v>
      </c>
      <c r="B4" s="2" t="s">
        <v>46</v>
      </c>
      <c r="C4" s="2"/>
      <c r="E4" s="1">
        <v>5</v>
      </c>
    </row>
    <row r="5" spans="1:5" x14ac:dyDescent="0.3">
      <c r="A5" s="6">
        <v>3</v>
      </c>
      <c r="B5" s="2" t="s">
        <v>103</v>
      </c>
      <c r="C5" s="34">
        <f>SUMIF(Dataset!H2:H40,"&gt;20")</f>
        <v>1473.0000000000002</v>
      </c>
      <c r="E5" s="1">
        <v>10</v>
      </c>
    </row>
    <row r="6" spans="1:5" x14ac:dyDescent="0.3">
      <c r="A6" s="6">
        <v>4</v>
      </c>
      <c r="B6" s="2" t="s">
        <v>105</v>
      </c>
      <c r="C6" s="2"/>
      <c r="E6" s="1">
        <v>5</v>
      </c>
    </row>
    <row r="7" spans="1:5" x14ac:dyDescent="0.3">
      <c r="A7" s="2"/>
      <c r="B7" s="2"/>
      <c r="C7" s="2"/>
    </row>
    <row r="13" spans="1:5" x14ac:dyDescent="0.3">
      <c r="E13" s="2"/>
    </row>
    <row r="14" spans="1:5" ht="13.8" customHeight="1"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M30"/>
  <sheetViews>
    <sheetView zoomScaleNormal="100" workbookViewId="0">
      <pane ySplit="1" topLeftCell="A2" activePane="bottomLeft" state="frozen"/>
      <selection pane="bottomLeft" activeCell="L2" sqref="L2"/>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13" s="41" customFormat="1" ht="21" x14ac:dyDescent="0.4">
      <c r="A1" s="42" t="s">
        <v>54</v>
      </c>
      <c r="B1" s="41" t="s">
        <v>162</v>
      </c>
    </row>
    <row r="2" spans="1:13" s="41" customFormat="1" ht="21" x14ac:dyDescent="0.4">
      <c r="B2" s="41" t="s">
        <v>159</v>
      </c>
    </row>
    <row r="3" spans="1:13" ht="14.4" x14ac:dyDescent="0.3">
      <c r="A3" s="1"/>
      <c r="B3" s="1"/>
      <c r="C3" s="1"/>
      <c r="D3" s="1"/>
      <c r="E3" s="1"/>
      <c r="F3" s="1"/>
      <c r="G3" s="1"/>
    </row>
    <row r="4" spans="1:13" ht="23.4" x14ac:dyDescent="0.45">
      <c r="A4" s="18" t="s">
        <v>160</v>
      </c>
      <c r="B4" s="1"/>
      <c r="C4" s="1"/>
      <c r="D4" s="1"/>
      <c r="E4" s="1"/>
      <c r="F4" s="1"/>
      <c r="G4" s="1"/>
      <c r="M4" s="41"/>
    </row>
    <row r="5" spans="1:13" ht="14.4" x14ac:dyDescent="0.3">
      <c r="A5" s="20" t="s">
        <v>63</v>
      </c>
      <c r="B5" s="21" t="s">
        <v>78</v>
      </c>
      <c r="C5" s="22" t="s">
        <v>70</v>
      </c>
      <c r="D5" s="21" t="s">
        <v>74</v>
      </c>
      <c r="E5" s="22" t="s">
        <v>75</v>
      </c>
      <c r="F5" s="23" t="s">
        <v>76</v>
      </c>
    </row>
    <row r="6" spans="1:13" ht="14.4" x14ac:dyDescent="0.3">
      <c r="A6" s="7" t="s">
        <v>40</v>
      </c>
      <c r="B6" s="12" cm="1">
        <f t="array" ref="B6:B27">VLOOKUP(A6:A27,Dataset!A2:G40,7,FALSE)</f>
        <v>2.7</v>
      </c>
      <c r="C6" s="12" cm="1">
        <f t="array" ref="C6:C27">VLOOKUP(A6:A27,Dataset!A2:N40,14,FALSE)</f>
        <v>7.6</v>
      </c>
      <c r="D6" s="12" cm="1">
        <f t="array" ref="D6:D27">VLOOKUP(A6:A27,Dataset!A2:R40,18,FALSE)</f>
        <v>4.2</v>
      </c>
      <c r="E6" s="12" cm="1">
        <f t="array" ref="E6:E27">VLOOKUP(A6:A27,Dataset!A2:T40,20,FALSE)</f>
        <v>8.9</v>
      </c>
      <c r="F6" s="8" cm="1">
        <f t="array" ref="F6:F27">VLOOKUP(A6:A27,Dataset!A2:W40,22,FALSE)</f>
        <v>4.2</v>
      </c>
    </row>
    <row r="7" spans="1:13" ht="14.4" x14ac:dyDescent="0.3">
      <c r="A7" s="7" t="s">
        <v>4</v>
      </c>
      <c r="B7" s="12">
        <v>2.7</v>
      </c>
      <c r="C7" s="12">
        <v>7.6</v>
      </c>
      <c r="D7" s="12">
        <v>4.2</v>
      </c>
      <c r="E7" s="12">
        <v>8.9</v>
      </c>
      <c r="F7" s="8">
        <v>4.2</v>
      </c>
    </row>
    <row r="8" spans="1:13" ht="14.4" x14ac:dyDescent="0.3">
      <c r="A8" s="7" t="s">
        <v>7</v>
      </c>
      <c r="B8" s="12">
        <v>3.6</v>
      </c>
      <c r="C8" s="12">
        <v>11.1</v>
      </c>
      <c r="D8" s="12">
        <v>5.8</v>
      </c>
      <c r="E8" s="12">
        <v>12.2</v>
      </c>
      <c r="F8" s="8">
        <v>5.8</v>
      </c>
    </row>
    <row r="9" spans="1:13" ht="14.4" x14ac:dyDescent="0.3">
      <c r="A9" s="7" t="s">
        <v>8</v>
      </c>
      <c r="B9" s="12">
        <v>4.9000000000000004</v>
      </c>
      <c r="C9" s="12">
        <v>13.3</v>
      </c>
      <c r="D9" s="12">
        <v>8.1</v>
      </c>
      <c r="E9" s="12">
        <v>17</v>
      </c>
      <c r="F9" s="8">
        <v>8.1</v>
      </c>
    </row>
    <row r="10" spans="1:13" ht="14.4" x14ac:dyDescent="0.3">
      <c r="A10" s="7" t="s">
        <v>11</v>
      </c>
      <c r="B10" s="12">
        <v>9.4</v>
      </c>
      <c r="C10" s="12">
        <v>28.3</v>
      </c>
      <c r="D10" s="12">
        <v>16.100000000000001</v>
      </c>
      <c r="E10" s="12">
        <v>32.799999999999997</v>
      </c>
      <c r="F10" s="8">
        <v>16.100000000000001</v>
      </c>
    </row>
    <row r="11" spans="1:13" ht="14.4" x14ac:dyDescent="0.3">
      <c r="A11" s="7" t="s">
        <v>12</v>
      </c>
      <c r="B11" s="12">
        <v>11.6</v>
      </c>
      <c r="C11" s="12">
        <v>35.200000000000003</v>
      </c>
      <c r="D11" s="12">
        <v>21.3</v>
      </c>
      <c r="E11" s="12">
        <v>43</v>
      </c>
      <c r="F11" s="8">
        <v>21.3</v>
      </c>
    </row>
    <row r="12" spans="1:13" ht="14.4" x14ac:dyDescent="0.3">
      <c r="A12" s="7" t="s">
        <v>14</v>
      </c>
      <c r="B12" s="12">
        <v>18.399999999999999</v>
      </c>
      <c r="C12" s="12">
        <v>55.6</v>
      </c>
      <c r="D12" s="12">
        <v>33.799999999999997</v>
      </c>
      <c r="E12" s="12">
        <v>67.900000000000006</v>
      </c>
      <c r="F12" s="8">
        <v>33.799999999999997</v>
      </c>
    </row>
    <row r="13" spans="1:13" ht="14.4" x14ac:dyDescent="0.3">
      <c r="A13" s="7" t="s">
        <v>15</v>
      </c>
      <c r="B13" s="12">
        <v>0</v>
      </c>
      <c r="C13" s="12">
        <v>0</v>
      </c>
      <c r="D13" s="12">
        <v>0</v>
      </c>
      <c r="E13" s="12">
        <v>0</v>
      </c>
      <c r="F13" s="8">
        <v>0</v>
      </c>
    </row>
    <row r="14" spans="1:13" ht="14.4" x14ac:dyDescent="0.3">
      <c r="A14" s="7" t="s">
        <v>16</v>
      </c>
      <c r="B14" s="12">
        <v>21.9</v>
      </c>
      <c r="C14" s="12">
        <v>61.5</v>
      </c>
      <c r="D14" s="12">
        <v>40.1</v>
      </c>
      <c r="E14" s="12">
        <v>76.599999999999994</v>
      </c>
      <c r="F14" s="8">
        <v>40.1</v>
      </c>
    </row>
    <row r="15" spans="1:13" ht="14.4" x14ac:dyDescent="0.3">
      <c r="A15" s="7" t="s">
        <v>18</v>
      </c>
      <c r="B15" s="12">
        <v>26.8</v>
      </c>
      <c r="C15" s="12">
        <v>79.599999999999994</v>
      </c>
      <c r="D15" s="12">
        <v>47.9</v>
      </c>
      <c r="E15" s="12">
        <v>96.8</v>
      </c>
      <c r="F15" s="8">
        <v>47.9</v>
      </c>
    </row>
    <row r="16" spans="1:13" ht="14.4" x14ac:dyDescent="0.3">
      <c r="A16" s="7" t="s">
        <v>20</v>
      </c>
      <c r="B16" s="12">
        <v>28.5</v>
      </c>
      <c r="C16" s="12">
        <v>85.4</v>
      </c>
      <c r="D16" s="12">
        <v>52.3</v>
      </c>
      <c r="E16" s="12">
        <v>106.1</v>
      </c>
      <c r="F16" s="8">
        <v>52.3</v>
      </c>
    </row>
    <row r="17" spans="1:6" ht="14.4" x14ac:dyDescent="0.3">
      <c r="A17" s="7" t="s">
        <v>22</v>
      </c>
      <c r="B17" s="12">
        <v>30.7</v>
      </c>
      <c r="C17" s="12">
        <v>92.1</v>
      </c>
      <c r="D17" s="12">
        <v>57</v>
      </c>
      <c r="E17" s="12">
        <v>115.1</v>
      </c>
      <c r="F17" s="8">
        <v>57</v>
      </c>
    </row>
    <row r="18" spans="1:6" ht="14.4" x14ac:dyDescent="0.3">
      <c r="A18" s="7" t="s">
        <v>23</v>
      </c>
      <c r="B18" s="12">
        <v>33.799999999999997</v>
      </c>
      <c r="C18" s="12">
        <v>101.3</v>
      </c>
      <c r="D18" s="12">
        <v>61.4</v>
      </c>
      <c r="E18" s="12">
        <v>124.4</v>
      </c>
      <c r="F18" s="8">
        <v>61.4</v>
      </c>
    </row>
    <row r="19" spans="1:6" ht="14.4" x14ac:dyDescent="0.3">
      <c r="A19" s="7" t="s">
        <v>24</v>
      </c>
      <c r="B19" s="12">
        <v>34.700000000000003</v>
      </c>
      <c r="C19" s="12">
        <v>106.1</v>
      </c>
      <c r="D19" s="12">
        <v>63.6</v>
      </c>
      <c r="E19" s="12">
        <v>128.6</v>
      </c>
      <c r="F19" s="8">
        <v>63.6</v>
      </c>
    </row>
    <row r="20" spans="1:6" ht="14.4" x14ac:dyDescent="0.3">
      <c r="A20" s="7" t="s">
        <v>28</v>
      </c>
      <c r="B20" s="12">
        <v>0</v>
      </c>
      <c r="C20" s="12">
        <v>0</v>
      </c>
      <c r="D20" s="12">
        <v>0</v>
      </c>
      <c r="E20" s="12">
        <v>0</v>
      </c>
      <c r="F20" s="8">
        <v>0</v>
      </c>
    </row>
    <row r="21" spans="1:6" ht="14.4" x14ac:dyDescent="0.3">
      <c r="A21" s="7" t="s">
        <v>56</v>
      </c>
      <c r="B21" s="12">
        <v>41.3</v>
      </c>
      <c r="C21" s="12">
        <v>124.4</v>
      </c>
      <c r="D21" s="12">
        <v>75</v>
      </c>
      <c r="E21" s="12">
        <v>151.5</v>
      </c>
      <c r="F21" s="8">
        <v>75</v>
      </c>
    </row>
    <row r="22" spans="1:6" ht="14.4" x14ac:dyDescent="0.3">
      <c r="A22" s="7" t="s">
        <v>57</v>
      </c>
      <c r="B22" s="12">
        <v>-1</v>
      </c>
      <c r="C22" s="12">
        <v>-1</v>
      </c>
      <c r="D22" s="12">
        <v>-1</v>
      </c>
      <c r="E22" s="12">
        <v>-1</v>
      </c>
      <c r="F22" s="8">
        <v>-1</v>
      </c>
    </row>
    <row r="23" spans="1:6" ht="14.4" x14ac:dyDescent="0.3">
      <c r="A23" s="7" t="s">
        <v>31</v>
      </c>
      <c r="B23" s="12">
        <v>45</v>
      </c>
      <c r="C23" s="12">
        <v>133.4</v>
      </c>
      <c r="D23" s="12">
        <v>79.400000000000006</v>
      </c>
      <c r="E23" s="12">
        <v>160.9</v>
      </c>
      <c r="F23" s="8">
        <v>79.400000000000006</v>
      </c>
    </row>
    <row r="24" spans="1:6" ht="14.4" x14ac:dyDescent="0.3">
      <c r="A24" s="7" t="s">
        <v>32</v>
      </c>
      <c r="B24" s="12">
        <v>-1</v>
      </c>
      <c r="C24" s="12">
        <v>-1</v>
      </c>
      <c r="D24" s="12">
        <v>-1</v>
      </c>
      <c r="E24" s="12">
        <v>-1</v>
      </c>
      <c r="F24" s="8">
        <v>-1</v>
      </c>
    </row>
    <row r="25" spans="1:6" ht="14.4" x14ac:dyDescent="0.3">
      <c r="A25" s="7" t="s">
        <v>34</v>
      </c>
      <c r="B25" s="12">
        <v>43.3</v>
      </c>
      <c r="C25" s="12">
        <v>128.6</v>
      </c>
      <c r="D25" s="12">
        <v>79.400000000000006</v>
      </c>
      <c r="E25" s="12">
        <v>160.9</v>
      </c>
      <c r="F25" s="8">
        <v>79.400000000000006</v>
      </c>
    </row>
    <row r="26" spans="1:6" ht="14.4" x14ac:dyDescent="0.3">
      <c r="A26" s="7" t="s">
        <v>37</v>
      </c>
      <c r="B26" s="12">
        <v>49.1</v>
      </c>
      <c r="C26" s="12">
        <v>146.80000000000001</v>
      </c>
      <c r="D26" s="12">
        <v>90.9</v>
      </c>
      <c r="E26" s="12">
        <v>183.5</v>
      </c>
      <c r="F26" s="8">
        <v>90.9</v>
      </c>
    </row>
    <row r="27" spans="1:6" ht="14.4" x14ac:dyDescent="0.3">
      <c r="A27" s="7" t="s">
        <v>39</v>
      </c>
      <c r="B27" s="12">
        <v>51.8</v>
      </c>
      <c r="C27" s="12">
        <v>156.4</v>
      </c>
      <c r="D27" s="12">
        <v>93.1</v>
      </c>
      <c r="E27" s="12">
        <v>188.1</v>
      </c>
      <c r="F27" s="8">
        <v>93.1</v>
      </c>
    </row>
    <row r="28" spans="1:6" ht="14.4" x14ac:dyDescent="0.3">
      <c r="A28" s="19" t="s">
        <v>81</v>
      </c>
      <c r="B28" s="31">
        <f>MIN(B6:B27)</f>
        <v>-1</v>
      </c>
      <c r="C28" s="31">
        <f>MIN(C6:C27)</f>
        <v>-1</v>
      </c>
      <c r="D28" s="31">
        <f>MIN(D6:D27)</f>
        <v>-1</v>
      </c>
      <c r="E28" s="31">
        <f>MIN(E6:E27)</f>
        <v>-1</v>
      </c>
      <c r="F28" s="31">
        <f>MIN(F6:F27)</f>
        <v>-1</v>
      </c>
    </row>
    <row r="29" spans="1:6" ht="14.4" x14ac:dyDescent="0.3">
      <c r="A29" s="19" t="s">
        <v>82</v>
      </c>
      <c r="B29" s="31">
        <f>MAX(B6:B27)</f>
        <v>51.8</v>
      </c>
      <c r="C29" s="31">
        <f>MAX(C6:C27)</f>
        <v>156.4</v>
      </c>
      <c r="D29" s="31">
        <f>MAX(D6:D27)</f>
        <v>93.1</v>
      </c>
      <c r="E29" s="31">
        <f>MAX(E6:E27)</f>
        <v>188.1</v>
      </c>
      <c r="F29" s="31">
        <f>MAX(E6:E27)</f>
        <v>188.1</v>
      </c>
    </row>
    <row r="30" spans="1:6" ht="14.4" x14ac:dyDescent="0.3">
      <c r="A30" s="19" t="s">
        <v>83</v>
      </c>
      <c r="B30" s="31">
        <f>AVERAGE(B6:B27)</f>
        <v>20.827272727272728</v>
      </c>
      <c r="C30" s="31">
        <f>AVERAGE(C6:C27)</f>
        <v>62.377272727272725</v>
      </c>
      <c r="D30" s="31">
        <f>AVERAGE(D6:D27)</f>
        <v>37.800000000000004</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43" zoomScaleNormal="100" workbookViewId="0">
      <selection activeCell="H10" sqref="H10"/>
    </sheetView>
  </sheetViews>
  <sheetFormatPr defaultColWidth="11" defaultRowHeight="14.4" x14ac:dyDescent="0.3"/>
  <cols>
    <col min="1" max="1" width="39.77734375" style="1" bestFit="1" customWidth="1"/>
    <col min="2" max="16384" width="11" style="1"/>
  </cols>
  <sheetData>
    <row r="1" spans="1:10" s="41" customFormat="1" ht="21" x14ac:dyDescent="0.4">
      <c r="A1" s="42" t="s">
        <v>55</v>
      </c>
      <c r="B1" s="41" t="s">
        <v>172</v>
      </c>
    </row>
    <row r="2" spans="1:10" customFormat="1" ht="13.2" x14ac:dyDescent="0.25"/>
    <row r="3" spans="1:10" s="2" customFormat="1" x14ac:dyDescent="0.3">
      <c r="B3" s="1"/>
    </row>
    <row r="4" spans="1:10" s="2" customFormat="1" x14ac:dyDescent="0.3">
      <c r="B4" s="1" t="s">
        <v>150</v>
      </c>
    </row>
    <row r="5" spans="1:10" ht="18" x14ac:dyDescent="0.35">
      <c r="A5" s="43" t="s">
        <v>177</v>
      </c>
      <c r="B5" s="40"/>
    </row>
    <row r="6" spans="1:10" ht="18" x14ac:dyDescent="0.35">
      <c r="A6" s="43" t="s">
        <v>176</v>
      </c>
      <c r="B6" s="40"/>
    </row>
    <row r="7" spans="1:10" ht="18" x14ac:dyDescent="0.35">
      <c r="A7" s="43"/>
      <c r="B7" s="40"/>
    </row>
    <row r="9" spans="1:10" ht="23.4" x14ac:dyDescent="0.45">
      <c r="A9" s="18" t="s">
        <v>163</v>
      </c>
      <c r="I9" s="2"/>
      <c r="J9" s="2"/>
    </row>
    <row r="10" spans="1:10" x14ac:dyDescent="0.3">
      <c r="A10" s="33" t="s">
        <v>101</v>
      </c>
      <c r="B10" s="17" t="s">
        <v>49</v>
      </c>
      <c r="C10" s="17" t="s">
        <v>50</v>
      </c>
      <c r="D10" s="17" t="s">
        <v>51</v>
      </c>
      <c r="E10" s="17" t="s">
        <v>52</v>
      </c>
      <c r="F10" s="17" t="s">
        <v>53</v>
      </c>
      <c r="I10" s="2"/>
      <c r="J10" s="2"/>
    </row>
    <row r="11" spans="1:10" x14ac:dyDescent="0.3">
      <c r="A11" s="9" t="s">
        <v>120</v>
      </c>
      <c r="B11" s="13">
        <v>20000</v>
      </c>
      <c r="C11" s="13" t="s">
        <v>5</v>
      </c>
      <c r="D11" s="13">
        <v>0</v>
      </c>
      <c r="E11" s="11" t="s">
        <v>6</v>
      </c>
      <c r="F11" s="11">
        <v>24</v>
      </c>
      <c r="I11" s="2"/>
      <c r="J11" s="2"/>
    </row>
    <row r="14" spans="1:10" ht="23.4" x14ac:dyDescent="0.45">
      <c r="A14" s="18" t="s">
        <v>160</v>
      </c>
    </row>
    <row r="15" spans="1:10" x14ac:dyDescent="0.3">
      <c r="A15" s="14" t="s">
        <v>102</v>
      </c>
      <c r="B15" s="17" t="s">
        <v>49</v>
      </c>
      <c r="C15" s="15" t="s">
        <v>50</v>
      </c>
      <c r="D15" s="17" t="s">
        <v>51</v>
      </c>
      <c r="E15" s="15" t="s">
        <v>52</v>
      </c>
      <c r="F15" s="17" t="s">
        <v>53</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C9" sqref="C9"/>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84</v>
      </c>
      <c r="B1" s="41" t="s">
        <v>165</v>
      </c>
    </row>
    <row r="2" spans="1:3" ht="18" x14ac:dyDescent="0.35">
      <c r="B2" s="40" t="s">
        <v>164</v>
      </c>
    </row>
    <row r="5" spans="1:3" ht="14.4" x14ac:dyDescent="0.3">
      <c r="B5" s="1" t="s">
        <v>150</v>
      </c>
    </row>
    <row r="6" spans="1:3" ht="14.4" x14ac:dyDescent="0.3">
      <c r="A6" s="3" t="s">
        <v>179</v>
      </c>
      <c r="B6" s="1"/>
    </row>
    <row r="7" spans="1:3" ht="14.4" x14ac:dyDescent="0.3">
      <c r="A7" s="3" t="s">
        <v>178</v>
      </c>
      <c r="B7" s="1"/>
    </row>
    <row r="10" spans="1:3" ht="23.4" x14ac:dyDescent="0.45">
      <c r="A10" s="18" t="s">
        <v>160</v>
      </c>
    </row>
    <row r="11" spans="1:3" ht="14.4" x14ac:dyDescent="0.3">
      <c r="A11" s="32" t="s">
        <v>85</v>
      </c>
      <c r="B11" s="17" t="s">
        <v>86</v>
      </c>
      <c r="C11" s="17" t="s">
        <v>87</v>
      </c>
    </row>
    <row r="12" spans="1:3" ht="14.4" x14ac:dyDescent="0.3">
      <c r="A12" s="32">
        <v>44927</v>
      </c>
      <c r="B12" s="17" t="s">
        <v>58</v>
      </c>
      <c r="C12" s="17">
        <v>200</v>
      </c>
    </row>
    <row r="13" spans="1:3" ht="14.4" x14ac:dyDescent="0.3">
      <c r="A13" s="32">
        <v>44928</v>
      </c>
      <c r="B13" s="17" t="s">
        <v>59</v>
      </c>
      <c r="C13" s="17">
        <v>20</v>
      </c>
    </row>
    <row r="14" spans="1:3" ht="14.4" x14ac:dyDescent="0.3">
      <c r="A14" s="32">
        <v>44929</v>
      </c>
      <c r="B14" s="17" t="s">
        <v>60</v>
      </c>
      <c r="C14" s="17">
        <v>50</v>
      </c>
    </row>
    <row r="15" spans="1:3" ht="14.4" x14ac:dyDescent="0.3">
      <c r="A15" s="32">
        <v>44930</v>
      </c>
      <c r="B15" s="17" t="s">
        <v>61</v>
      </c>
      <c r="C15" s="17">
        <v>20</v>
      </c>
    </row>
    <row r="16" spans="1:3" ht="14.4" x14ac:dyDescent="0.3">
      <c r="A16" s="32">
        <v>44931</v>
      </c>
      <c r="B16" s="17" t="s">
        <v>62</v>
      </c>
      <c r="C16" s="17">
        <v>10</v>
      </c>
    </row>
    <row r="17" spans="1:3" ht="14.4" x14ac:dyDescent="0.3">
      <c r="A17" s="32">
        <v>44932</v>
      </c>
      <c r="B17" s="17" t="s">
        <v>152</v>
      </c>
      <c r="C17" s="17">
        <v>150</v>
      </c>
    </row>
    <row r="18" spans="1:3" ht="14.4" x14ac:dyDescent="0.3">
      <c r="A18" s="32">
        <v>44933</v>
      </c>
      <c r="B18" s="17" t="s">
        <v>153</v>
      </c>
      <c r="C18" s="17">
        <v>80</v>
      </c>
    </row>
    <row r="19" spans="1:3" ht="14.4" x14ac:dyDescent="0.3">
      <c r="A19" s="32">
        <v>44934</v>
      </c>
      <c r="B19" s="17" t="s">
        <v>154</v>
      </c>
      <c r="C19" s="17">
        <v>20</v>
      </c>
    </row>
    <row r="20" spans="1:3" ht="14.4" x14ac:dyDescent="0.3">
      <c r="A20" s="32">
        <v>44935</v>
      </c>
      <c r="B20" s="17" t="s">
        <v>155</v>
      </c>
      <c r="C20" s="17">
        <v>30</v>
      </c>
    </row>
    <row r="21" spans="1:3" ht="14.4" x14ac:dyDescent="0.3">
      <c r="A21" s="32">
        <v>44936</v>
      </c>
      <c r="B21" s="17" t="s">
        <v>156</v>
      </c>
      <c r="C21" s="17">
        <v>20</v>
      </c>
    </row>
    <row r="22" spans="1:3" ht="14.4" x14ac:dyDescent="0.3">
      <c r="B22" s="17" t="s">
        <v>157</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B6" sqref="B6"/>
    </sheetView>
  </sheetViews>
  <sheetFormatPr defaultColWidth="11" defaultRowHeight="13.8" x14ac:dyDescent="0.3"/>
  <cols>
    <col min="1" max="1" width="28.21875" style="2" bestFit="1" customWidth="1"/>
    <col min="2" max="16384" width="11" style="2"/>
  </cols>
  <sheetData>
    <row r="1" spans="1:14" ht="21" x14ac:dyDescent="0.4">
      <c r="A1" s="42" t="s">
        <v>97</v>
      </c>
      <c r="B1" s="41" t="s">
        <v>173</v>
      </c>
    </row>
    <row r="3" spans="1:14" ht="14.4" x14ac:dyDescent="0.3">
      <c r="B3" s="1" t="s">
        <v>150</v>
      </c>
    </row>
    <row r="4" spans="1:14" ht="18" x14ac:dyDescent="0.35">
      <c r="A4" s="43" t="s">
        <v>180</v>
      </c>
      <c r="C4" s="1"/>
    </row>
    <row r="5" spans="1:14" ht="18" x14ac:dyDescent="0.35">
      <c r="A5" s="43" t="s">
        <v>181</v>
      </c>
      <c r="B5" s="1"/>
    </row>
    <row r="6" spans="1:14" ht="14.4" x14ac:dyDescent="0.3">
      <c r="A6" s="3"/>
      <c r="B6" s="1"/>
    </row>
    <row r="8" spans="1:14" ht="23.4" x14ac:dyDescent="0.45">
      <c r="A8" s="18" t="s">
        <v>160</v>
      </c>
      <c r="M8" s="18" t="s">
        <v>161</v>
      </c>
    </row>
    <row r="9" spans="1:14" ht="14.4" x14ac:dyDescent="0.3">
      <c r="A9" s="26"/>
      <c r="B9" s="26" t="s">
        <v>88</v>
      </c>
      <c r="C9" s="26" t="s">
        <v>89</v>
      </c>
      <c r="D9" s="26" t="s">
        <v>90</v>
      </c>
      <c r="E9" s="26" t="s">
        <v>91</v>
      </c>
      <c r="F9" s="26" t="s">
        <v>92</v>
      </c>
      <c r="G9" s="26" t="s">
        <v>93</v>
      </c>
      <c r="H9" s="26" t="s">
        <v>94</v>
      </c>
      <c r="I9" s="26" t="s">
        <v>95</v>
      </c>
      <c r="J9" s="26" t="s">
        <v>96</v>
      </c>
      <c r="M9" s="19" t="s">
        <v>43</v>
      </c>
      <c r="N9" s="19" t="s">
        <v>98</v>
      </c>
    </row>
    <row r="10" spans="1:14" ht="14.4" x14ac:dyDescent="0.3">
      <c r="A10" s="26" t="s">
        <v>88</v>
      </c>
      <c r="B10" s="25">
        <v>-1</v>
      </c>
      <c r="C10" s="25">
        <v>95</v>
      </c>
      <c r="D10" s="25">
        <v>-1</v>
      </c>
      <c r="E10" s="25">
        <v>185</v>
      </c>
      <c r="F10" s="25">
        <v>255</v>
      </c>
      <c r="G10" s="25">
        <v>305</v>
      </c>
      <c r="H10" s="25">
        <v>415</v>
      </c>
      <c r="I10" s="25">
        <v>480</v>
      </c>
      <c r="J10" s="25">
        <v>525</v>
      </c>
      <c r="M10" s="12">
        <v>10100</v>
      </c>
      <c r="N10" s="12" t="s">
        <v>88</v>
      </c>
    </row>
    <row r="11" spans="1:14" ht="14.4" x14ac:dyDescent="0.3">
      <c r="A11" s="26" t="s">
        <v>89</v>
      </c>
      <c r="B11" s="25">
        <v>95</v>
      </c>
      <c r="C11" s="25">
        <v>-1</v>
      </c>
      <c r="D11" s="25">
        <v>-1</v>
      </c>
      <c r="E11" s="25">
        <v>90</v>
      </c>
      <c r="F11" s="25">
        <v>160</v>
      </c>
      <c r="G11" s="25">
        <v>210</v>
      </c>
      <c r="H11" s="25">
        <v>325</v>
      </c>
      <c r="I11" s="25">
        <v>390</v>
      </c>
      <c r="J11" s="25">
        <v>430</v>
      </c>
      <c r="M11" s="12">
        <v>10102</v>
      </c>
      <c r="N11" s="12" t="s">
        <v>89</v>
      </c>
    </row>
    <row r="12" spans="1:14" ht="14.4" x14ac:dyDescent="0.3">
      <c r="A12" s="26" t="s">
        <v>90</v>
      </c>
      <c r="B12" s="25">
        <v>-1</v>
      </c>
      <c r="C12" s="25">
        <v>-1</v>
      </c>
      <c r="D12" s="25">
        <v>-1</v>
      </c>
      <c r="E12" s="25">
        <v>60</v>
      </c>
      <c r="F12" s="25">
        <v>130</v>
      </c>
      <c r="G12" s="25">
        <v>180</v>
      </c>
      <c r="H12" s="25">
        <v>295</v>
      </c>
      <c r="I12" s="25">
        <v>355</v>
      </c>
      <c r="J12" s="25">
        <v>400</v>
      </c>
      <c r="M12" s="12">
        <v>10104</v>
      </c>
      <c r="N12" s="12" t="s">
        <v>90</v>
      </c>
    </row>
    <row r="13" spans="1:14" ht="14.4" x14ac:dyDescent="0.3">
      <c r="A13" s="26" t="s">
        <v>91</v>
      </c>
      <c r="B13" s="25">
        <v>185</v>
      </c>
      <c r="C13" s="25">
        <v>90</v>
      </c>
      <c r="D13" s="25">
        <v>60</v>
      </c>
      <c r="E13" s="25">
        <v>-1</v>
      </c>
      <c r="F13" s="25">
        <v>70</v>
      </c>
      <c r="G13" s="25">
        <v>120</v>
      </c>
      <c r="H13" s="25">
        <v>235</v>
      </c>
      <c r="I13" s="25">
        <v>300</v>
      </c>
      <c r="J13" s="25">
        <v>340</v>
      </c>
      <c r="M13" s="12">
        <v>10106</v>
      </c>
      <c r="N13" s="12" t="s">
        <v>91</v>
      </c>
    </row>
    <row r="14" spans="1:14" ht="14.4" x14ac:dyDescent="0.3">
      <c r="A14" s="26" t="s">
        <v>92</v>
      </c>
      <c r="B14" s="25">
        <v>255</v>
      </c>
      <c r="C14" s="25">
        <v>160</v>
      </c>
      <c r="D14" s="25">
        <v>130</v>
      </c>
      <c r="E14" s="25">
        <v>70</v>
      </c>
      <c r="F14" s="25">
        <v>-1</v>
      </c>
      <c r="G14" s="25">
        <v>50</v>
      </c>
      <c r="H14" s="25">
        <v>165</v>
      </c>
      <c r="I14" s="25">
        <v>230</v>
      </c>
      <c r="J14" s="25">
        <v>270</v>
      </c>
      <c r="M14" s="12">
        <v>10108</v>
      </c>
      <c r="N14" s="12" t="s">
        <v>92</v>
      </c>
    </row>
    <row r="15" spans="1:14" ht="14.4" x14ac:dyDescent="0.3">
      <c r="A15" s="26" t="s">
        <v>93</v>
      </c>
      <c r="B15" s="25">
        <v>305</v>
      </c>
      <c r="C15" s="25">
        <v>210</v>
      </c>
      <c r="D15" s="25">
        <v>180</v>
      </c>
      <c r="E15" s="25">
        <v>120</v>
      </c>
      <c r="F15" s="25">
        <v>50</v>
      </c>
      <c r="G15" s="25">
        <v>-1</v>
      </c>
      <c r="H15" s="25">
        <v>115</v>
      </c>
      <c r="I15" s="25">
        <v>180</v>
      </c>
      <c r="J15" s="25">
        <v>220</v>
      </c>
      <c r="M15" s="12">
        <v>10110</v>
      </c>
      <c r="N15" s="12" t="s">
        <v>93</v>
      </c>
    </row>
    <row r="16" spans="1:14"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166</v>
      </c>
    </row>
    <row r="22" spans="1:14" ht="14.4" x14ac:dyDescent="0.3">
      <c r="A22" s="14" t="s">
        <v>99</v>
      </c>
      <c r="B22" s="17" t="s">
        <v>100</v>
      </c>
      <c r="C22" s="16" t="s">
        <v>101</v>
      </c>
    </row>
    <row r="23" spans="1:14" ht="14.4" x14ac:dyDescent="0.3">
      <c r="A23" s="7">
        <v>10100</v>
      </c>
      <c r="B23" s="12">
        <v>10102</v>
      </c>
      <c r="C23" s="44">
        <v>95</v>
      </c>
    </row>
    <row r="24" spans="1:14" ht="14.4" x14ac:dyDescent="0.3">
      <c r="A24" s="7">
        <v>10100</v>
      </c>
      <c r="B24" s="12">
        <v>10104</v>
      </c>
      <c r="C24" s="44">
        <v>-1</v>
      </c>
    </row>
    <row r="25" spans="1:14" ht="14.4" x14ac:dyDescent="0.3">
      <c r="A25" s="7">
        <v>10108</v>
      </c>
      <c r="B25" s="12">
        <v>10102</v>
      </c>
      <c r="C25" s="44">
        <v>160</v>
      </c>
    </row>
    <row r="26" spans="1:14" ht="14.4" x14ac:dyDescent="0.3">
      <c r="A26" s="7">
        <v>10100</v>
      </c>
      <c r="B26" s="12">
        <v>10106</v>
      </c>
      <c r="C26" s="44">
        <v>185</v>
      </c>
    </row>
    <row r="27" spans="1:14" ht="14.4" x14ac:dyDescent="0.3">
      <c r="A27" s="7">
        <v>10108</v>
      </c>
      <c r="B27" s="12">
        <v>10110</v>
      </c>
      <c r="C27" s="44">
        <v>50</v>
      </c>
    </row>
    <row r="28" spans="1:14" ht="14.4" x14ac:dyDescent="0.3">
      <c r="A28" s="7">
        <v>10102</v>
      </c>
      <c r="B28" s="12">
        <v>10104</v>
      </c>
      <c r="C28" s="44">
        <v>-1</v>
      </c>
    </row>
    <row r="29" spans="1:14" ht="14.4" x14ac:dyDescent="0.3">
      <c r="A29" s="7">
        <v>10106</v>
      </c>
      <c r="B29" s="12">
        <v>10108</v>
      </c>
      <c r="C29" s="44">
        <v>70</v>
      </c>
    </row>
    <row r="30" spans="1:14" ht="14.4" x14ac:dyDescent="0.3">
      <c r="A30" s="7">
        <v>10102</v>
      </c>
      <c r="B30" s="12">
        <v>10106</v>
      </c>
      <c r="C30" s="44">
        <v>90</v>
      </c>
    </row>
    <row r="31" spans="1:14" ht="14.4" x14ac:dyDescent="0.3">
      <c r="A31" s="7">
        <v>10110</v>
      </c>
      <c r="B31" s="12">
        <v>10114</v>
      </c>
      <c r="C31" s="44">
        <v>180</v>
      </c>
    </row>
    <row r="32" spans="1:14" ht="14.4" x14ac:dyDescent="0.3">
      <c r="A32" s="7">
        <v>10104</v>
      </c>
      <c r="B32" s="12">
        <v>10106</v>
      </c>
      <c r="C32" s="44">
        <v>60</v>
      </c>
    </row>
    <row r="33" spans="1:3" ht="14.4" x14ac:dyDescent="0.3">
      <c r="A33" s="7">
        <v>10110</v>
      </c>
      <c r="B33" s="12">
        <v>10112</v>
      </c>
      <c r="C33" s="44">
        <v>115</v>
      </c>
    </row>
    <row r="34" spans="1:3" ht="14.4" x14ac:dyDescent="0.3">
      <c r="A34" s="7">
        <v>10100</v>
      </c>
      <c r="B34" s="12">
        <v>10114</v>
      </c>
      <c r="C34" s="44">
        <v>480</v>
      </c>
    </row>
    <row r="35" spans="1:3" ht="14.4" x14ac:dyDescent="0.3">
      <c r="A35" s="9">
        <v>10112</v>
      </c>
      <c r="B35" s="13">
        <v>10116</v>
      </c>
      <c r="C35" s="45">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mukesh chaudhari</cp:lastModifiedBy>
  <dcterms:created xsi:type="dcterms:W3CDTF">2015-02-10T17:33:11Z</dcterms:created>
  <dcterms:modified xsi:type="dcterms:W3CDTF">2023-12-09T21:07:32Z</dcterms:modified>
</cp:coreProperties>
</file>